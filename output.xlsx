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positories\nbody\"/>
    </mc:Choice>
  </mc:AlternateContent>
  <xr:revisionPtr revIDLastSave="0" documentId="13_ncr:9_{1B0188AC-9CE8-48C2-9138-C9ACC2702102}" xr6:coauthVersionLast="47" xr6:coauthVersionMax="47" xr10:uidLastSave="{00000000-0000-0000-0000-000000000000}"/>
  <bookViews>
    <workbookView xWindow="-108" yWindow="-108" windowWidth="23256" windowHeight="12456" xr2:uid="{58D2620A-1016-46D5-ADDC-1777A1345DFE}"/>
  </bookViews>
  <sheets>
    <sheet name="output" sheetId="1" r:id="rId1"/>
  </sheets>
  <calcPr calcId="0"/>
</workbook>
</file>

<file path=xl/calcChain.xml><?xml version="1.0" encoding="utf-8"?>
<calcChain xmlns="http://schemas.openxmlformats.org/spreadsheetml/2006/main">
  <c r="S3" i="1" l="1"/>
  <c r="T3" i="1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S24" i="1"/>
  <c r="T24" i="1"/>
  <c r="S25" i="1"/>
  <c r="T25" i="1"/>
  <c r="S26" i="1"/>
  <c r="T26" i="1"/>
  <c r="S27" i="1"/>
  <c r="T27" i="1"/>
  <c r="S28" i="1"/>
  <c r="T28" i="1"/>
  <c r="S29" i="1"/>
  <c r="T29" i="1"/>
  <c r="S30" i="1"/>
  <c r="T30" i="1"/>
  <c r="S31" i="1"/>
  <c r="T31" i="1"/>
  <c r="S32" i="1"/>
  <c r="T32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" i="1"/>
  <c r="J4" i="1"/>
  <c r="K4" i="1"/>
  <c r="N4" i="1"/>
  <c r="O4" i="1"/>
  <c r="J5" i="1"/>
  <c r="K5" i="1"/>
  <c r="N5" i="1"/>
  <c r="O5" i="1"/>
  <c r="J6" i="1"/>
  <c r="K6" i="1"/>
  <c r="N6" i="1"/>
  <c r="O6" i="1"/>
  <c r="J7" i="1"/>
  <c r="K7" i="1"/>
  <c r="N7" i="1"/>
  <c r="O7" i="1"/>
  <c r="J8" i="1"/>
  <c r="K8" i="1"/>
  <c r="N8" i="1"/>
  <c r="O8" i="1"/>
  <c r="J9" i="1"/>
  <c r="K9" i="1"/>
  <c r="N9" i="1"/>
  <c r="O9" i="1"/>
  <c r="J10" i="1"/>
  <c r="K10" i="1"/>
  <c r="N10" i="1"/>
  <c r="O10" i="1"/>
  <c r="J11" i="1"/>
  <c r="K11" i="1"/>
  <c r="N11" i="1"/>
  <c r="O11" i="1"/>
  <c r="J12" i="1"/>
  <c r="K12" i="1"/>
  <c r="N12" i="1"/>
  <c r="O12" i="1"/>
  <c r="J13" i="1"/>
  <c r="K13" i="1"/>
  <c r="N13" i="1"/>
  <c r="O13" i="1"/>
  <c r="J14" i="1"/>
  <c r="K14" i="1"/>
  <c r="N14" i="1"/>
  <c r="O14" i="1"/>
  <c r="J15" i="1"/>
  <c r="K15" i="1"/>
  <c r="N15" i="1"/>
  <c r="O15" i="1"/>
  <c r="J16" i="1"/>
  <c r="K16" i="1"/>
  <c r="N16" i="1"/>
  <c r="O16" i="1"/>
  <c r="J17" i="1"/>
  <c r="K17" i="1"/>
  <c r="N17" i="1"/>
  <c r="O17" i="1"/>
  <c r="J18" i="1"/>
  <c r="K18" i="1"/>
  <c r="N18" i="1"/>
  <c r="O18" i="1"/>
  <c r="J19" i="1"/>
  <c r="K19" i="1"/>
  <c r="N19" i="1"/>
  <c r="O19" i="1"/>
  <c r="J20" i="1"/>
  <c r="K20" i="1"/>
  <c r="N20" i="1"/>
  <c r="O20" i="1"/>
  <c r="J21" i="1"/>
  <c r="K21" i="1"/>
  <c r="N21" i="1"/>
  <c r="O21" i="1"/>
  <c r="J22" i="1"/>
  <c r="K22" i="1"/>
  <c r="N22" i="1"/>
  <c r="O22" i="1"/>
  <c r="J23" i="1"/>
  <c r="K23" i="1"/>
  <c r="N23" i="1"/>
  <c r="O23" i="1"/>
  <c r="J24" i="1"/>
  <c r="K24" i="1"/>
  <c r="N24" i="1"/>
  <c r="O24" i="1"/>
  <c r="J25" i="1"/>
  <c r="K25" i="1"/>
  <c r="N25" i="1"/>
  <c r="O25" i="1"/>
  <c r="J26" i="1"/>
  <c r="K26" i="1"/>
  <c r="N26" i="1"/>
  <c r="O26" i="1"/>
  <c r="J27" i="1"/>
  <c r="K27" i="1"/>
  <c r="N27" i="1"/>
  <c r="O27" i="1"/>
  <c r="J28" i="1"/>
  <c r="K28" i="1"/>
  <c r="N28" i="1"/>
  <c r="O28" i="1"/>
  <c r="J29" i="1"/>
  <c r="K29" i="1"/>
  <c r="N29" i="1"/>
  <c r="O29" i="1"/>
  <c r="J30" i="1"/>
  <c r="K30" i="1"/>
  <c r="N30" i="1"/>
  <c r="O30" i="1"/>
  <c r="J31" i="1"/>
  <c r="K31" i="1"/>
  <c r="N31" i="1"/>
  <c r="O31" i="1"/>
  <c r="J32" i="1"/>
  <c r="K32" i="1"/>
  <c r="N32" i="1"/>
  <c r="O32" i="1"/>
  <c r="O3" i="1"/>
  <c r="N3" i="1"/>
  <c r="K3" i="1"/>
  <c r="J3" i="1"/>
</calcChain>
</file>

<file path=xl/sharedStrings.xml><?xml version="1.0" encoding="utf-8"?>
<sst xmlns="http://schemas.openxmlformats.org/spreadsheetml/2006/main" count="14" uniqueCount="9">
  <si>
    <t>Start</t>
  </si>
  <si>
    <t>New</t>
  </si>
  <si>
    <t>Old</t>
  </si>
  <si>
    <t>Init</t>
  </si>
  <si>
    <t>End</t>
  </si>
  <si>
    <t>Num_P</t>
  </si>
  <si>
    <t>runN</t>
  </si>
  <si>
    <t>S&gt;I</t>
  </si>
  <si>
    <t>I&gt;F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</si>
</sst>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464566929133856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output!$H$3:$H$32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</c:numCache>
            </c:numRef>
          </c:xVal>
          <c:yVal>
            <c:numRef>
              <c:f>output!$J$3:$J$32</c:f>
              <c:numCache>
                <c:formatCode>General</c:formatCode>
                <c:ptCount val="30"/>
                <c:pt idx="0">
                  <c:v>0.52019000000000004</c:v>
                </c:pt>
                <c:pt idx="1">
                  <c:v>0.50725000000000009</c:v>
                </c:pt>
                <c:pt idx="2">
                  <c:v>0.48207</c:v>
                </c:pt>
                <c:pt idx="3">
                  <c:v>0.50173999999999985</c:v>
                </c:pt>
                <c:pt idx="4">
                  <c:v>0.51543000000000028</c:v>
                </c:pt>
                <c:pt idx="5">
                  <c:v>0.48803999999999981</c:v>
                </c:pt>
                <c:pt idx="6">
                  <c:v>0.49296000000000006</c:v>
                </c:pt>
                <c:pt idx="7">
                  <c:v>0.50665000000000004</c:v>
                </c:pt>
                <c:pt idx="8">
                  <c:v>0.54013000000000044</c:v>
                </c:pt>
                <c:pt idx="9">
                  <c:v>0.53182000000000063</c:v>
                </c:pt>
                <c:pt idx="10">
                  <c:v>0.50419999999999998</c:v>
                </c:pt>
                <c:pt idx="11">
                  <c:v>0.48303999999999991</c:v>
                </c:pt>
                <c:pt idx="12">
                  <c:v>0.54527999999999999</c:v>
                </c:pt>
                <c:pt idx="13">
                  <c:v>0.48374000000000006</c:v>
                </c:pt>
                <c:pt idx="14">
                  <c:v>0.49830999999999825</c:v>
                </c:pt>
                <c:pt idx="15">
                  <c:v>0.50534999999999997</c:v>
                </c:pt>
                <c:pt idx="16">
                  <c:v>0.49371999999999971</c:v>
                </c:pt>
                <c:pt idx="17">
                  <c:v>0.55099000000000053</c:v>
                </c:pt>
                <c:pt idx="18">
                  <c:v>0.49573</c:v>
                </c:pt>
                <c:pt idx="19">
                  <c:v>0.48268000000000022</c:v>
                </c:pt>
                <c:pt idx="20">
                  <c:v>0.49672999999999945</c:v>
                </c:pt>
                <c:pt idx="21">
                  <c:v>0.52598000000000056</c:v>
                </c:pt>
                <c:pt idx="22">
                  <c:v>0.488290000000001</c:v>
                </c:pt>
                <c:pt idx="23">
                  <c:v>0.49538000000000082</c:v>
                </c:pt>
                <c:pt idx="24">
                  <c:v>0.49035999999999902</c:v>
                </c:pt>
                <c:pt idx="25">
                  <c:v>0.5598300000000016</c:v>
                </c:pt>
                <c:pt idx="26">
                  <c:v>0.49769000000000041</c:v>
                </c:pt>
                <c:pt idx="27">
                  <c:v>0.49506999999999834</c:v>
                </c:pt>
                <c:pt idx="28">
                  <c:v>0.49155000000000015</c:v>
                </c:pt>
                <c:pt idx="29">
                  <c:v>0.55311000000000021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8A-4FE2-9D4E-13834494DC81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output!$H$3:$H$32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</c:numCache>
            </c:numRef>
          </c:xVal>
          <c:yVal>
            <c:numRef>
              <c:f>output!$K$3:$K$32</c:f>
              <c:numCache>
                <c:formatCode>General</c:formatCode>
                <c:ptCount val="30"/>
                <c:pt idx="0">
                  <c:v>0.52081999999999995</c:v>
                </c:pt>
                <c:pt idx="1">
                  <c:v>0.50779999999999992</c:v>
                </c:pt>
                <c:pt idx="2">
                  <c:v>0.48258000000000001</c:v>
                </c:pt>
                <c:pt idx="3">
                  <c:v>0.50287999999999977</c:v>
                </c:pt>
                <c:pt idx="4">
                  <c:v>0.5164500000000003</c:v>
                </c:pt>
                <c:pt idx="5">
                  <c:v>0.48910999999999971</c:v>
                </c:pt>
                <c:pt idx="6">
                  <c:v>0.49452000000000007</c:v>
                </c:pt>
                <c:pt idx="7">
                  <c:v>0.50841999999999965</c:v>
                </c:pt>
                <c:pt idx="8">
                  <c:v>0.54166000000000025</c:v>
                </c:pt>
                <c:pt idx="9">
                  <c:v>0.5341800000000001</c:v>
                </c:pt>
                <c:pt idx="10">
                  <c:v>0.5072100000000006</c:v>
                </c:pt>
                <c:pt idx="11">
                  <c:v>0.48517999999999972</c:v>
                </c:pt>
                <c:pt idx="12">
                  <c:v>0.54782000000000064</c:v>
                </c:pt>
                <c:pt idx="13">
                  <c:v>0.48620999999999981</c:v>
                </c:pt>
                <c:pt idx="14">
                  <c:v>0.50082999999999878</c:v>
                </c:pt>
                <c:pt idx="15">
                  <c:v>0.50832999999999906</c:v>
                </c:pt>
                <c:pt idx="16">
                  <c:v>0.49691999999999936</c:v>
                </c:pt>
                <c:pt idx="17">
                  <c:v>0.55393999999999899</c:v>
                </c:pt>
                <c:pt idx="18">
                  <c:v>0.49943999999999988</c:v>
                </c:pt>
                <c:pt idx="19">
                  <c:v>0.48608999999999902</c:v>
                </c:pt>
                <c:pt idx="20">
                  <c:v>0.50058999999999898</c:v>
                </c:pt>
                <c:pt idx="21">
                  <c:v>0.53003</c:v>
                </c:pt>
                <c:pt idx="22">
                  <c:v>0.49219000000000079</c:v>
                </c:pt>
                <c:pt idx="23">
                  <c:v>0.49990999999999985</c:v>
                </c:pt>
                <c:pt idx="24">
                  <c:v>0.49471999999999916</c:v>
                </c:pt>
                <c:pt idx="25">
                  <c:v>0.56425000000000125</c:v>
                </c:pt>
                <c:pt idx="26">
                  <c:v>0.50214999999999854</c:v>
                </c:pt>
                <c:pt idx="27">
                  <c:v>0.50019999999999953</c:v>
                </c:pt>
                <c:pt idx="28">
                  <c:v>0.49654999999999916</c:v>
                </c:pt>
                <c:pt idx="29">
                  <c:v>0.55803999999999832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8A-4FE2-9D4E-13834494D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590352"/>
        <c:axId val="170959083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output!$H$3:$H$32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7</c:v>
                      </c:pt>
                      <c:pt idx="20">
                        <c:v>7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8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9</c:v>
                      </c:pt>
                      <c:pt idx="27">
                        <c:v>10</c:v>
                      </c:pt>
                      <c:pt idx="28">
                        <c:v>10</c:v>
                      </c:pt>
                      <c:pt idx="29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output!$I$3:$I$32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D8A-4FE2-9D4E-13834494DC81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output!$H$3:$H$32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</c:numCache>
            </c:numRef>
          </c:xVal>
          <c:yVal>
            <c:numRef>
              <c:f>output!$N$3:$N$32</c:f>
              <c:numCache>
                <c:formatCode>General</c:formatCode>
                <c:ptCount val="30"/>
                <c:pt idx="0">
                  <c:v>2.5999999999992696E-4</c:v>
                </c:pt>
                <c:pt idx="1">
                  <c:v>2.4000000000001798E-4</c:v>
                </c:pt>
                <c:pt idx="2">
                  <c:v>1.9999999999997797E-4</c:v>
                </c:pt>
                <c:pt idx="3">
                  <c:v>2.20000000000109E-4</c:v>
                </c:pt>
                <c:pt idx="4">
                  <c:v>2.1000000000004349E-4</c:v>
                </c:pt>
                <c:pt idx="5">
                  <c:v>1.9999999999997797E-4</c:v>
                </c:pt>
                <c:pt idx="6">
                  <c:v>2.1000000000004349E-4</c:v>
                </c:pt>
                <c:pt idx="7">
                  <c:v>2.5000000000030553E-4</c:v>
                </c:pt>
                <c:pt idx="8">
                  <c:v>2.1000000000004349E-4</c:v>
                </c:pt>
                <c:pt idx="9">
                  <c:v>2.5000000000030553E-4</c:v>
                </c:pt>
                <c:pt idx="10">
                  <c:v>2.2000000000055309E-4</c:v>
                </c:pt>
                <c:pt idx="11">
                  <c:v>2.1000000000004349E-4</c:v>
                </c:pt>
                <c:pt idx="12">
                  <c:v>2.5999999999992696E-4</c:v>
                </c:pt>
                <c:pt idx="13">
                  <c:v>2.1999999999966491E-4</c:v>
                </c:pt>
                <c:pt idx="14">
                  <c:v>2.2000000000055309E-4</c:v>
                </c:pt>
                <c:pt idx="15">
                  <c:v>2.3000000000017451E-4</c:v>
                </c:pt>
                <c:pt idx="16">
                  <c:v>3.3999999999956287E-4</c:v>
                </c:pt>
                <c:pt idx="17">
                  <c:v>2.3999999999979593E-4</c:v>
                </c:pt>
                <c:pt idx="18">
                  <c:v>2.3000000000017451E-4</c:v>
                </c:pt>
                <c:pt idx="19">
                  <c:v>2.3000000000017451E-4</c:v>
                </c:pt>
                <c:pt idx="20">
                  <c:v>2.2000000000055309E-4</c:v>
                </c:pt>
                <c:pt idx="21">
                  <c:v>2.0999999999915531E-4</c:v>
                </c:pt>
                <c:pt idx="22">
                  <c:v>2.1999999999877673E-4</c:v>
                </c:pt>
                <c:pt idx="23">
                  <c:v>2.1000000000093166E-4</c:v>
                </c:pt>
                <c:pt idx="24">
                  <c:v>2.0999999999915531E-4</c:v>
                </c:pt>
                <c:pt idx="25">
                  <c:v>2.2000000000055309E-4</c:v>
                </c:pt>
                <c:pt idx="26">
                  <c:v>2.0999999999915531E-4</c:v>
                </c:pt>
                <c:pt idx="27">
                  <c:v>2.1999999999877673E-4</c:v>
                </c:pt>
                <c:pt idx="28">
                  <c:v>2.3000000000195087E-4</c:v>
                </c:pt>
                <c:pt idx="29">
                  <c:v>2.1999999999877673E-4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8A-4FE2-9D4E-13834494DC81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output!$H$3:$H$32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</c:numCache>
            </c:numRef>
          </c:xVal>
          <c:yVal>
            <c:numRef>
              <c:f>output!$O$3:$O$32</c:f>
              <c:numCache>
                <c:formatCode>General</c:formatCode>
                <c:ptCount val="30"/>
                <c:pt idx="0">
                  <c:v>2.0369999999999999E-2</c:v>
                </c:pt>
                <c:pt idx="1">
                  <c:v>1.9490000000000007E-2</c:v>
                </c:pt>
                <c:pt idx="2">
                  <c:v>1.8549999999999844E-2</c:v>
                </c:pt>
                <c:pt idx="3">
                  <c:v>4.0289999999999715E-2</c:v>
                </c:pt>
                <c:pt idx="4">
                  <c:v>4.1800000000000281E-2</c:v>
                </c:pt>
                <c:pt idx="5">
                  <c:v>3.8549999999999862E-2</c:v>
                </c:pt>
                <c:pt idx="6">
                  <c:v>5.8800000000000185E-2</c:v>
                </c:pt>
                <c:pt idx="7">
                  <c:v>5.9689999999999799E-2</c:v>
                </c:pt>
                <c:pt idx="8">
                  <c:v>6.0119999999999507E-2</c:v>
                </c:pt>
                <c:pt idx="9">
                  <c:v>8.1669999999999909E-2</c:v>
                </c:pt>
                <c:pt idx="10">
                  <c:v>8.0689999999999706E-2</c:v>
                </c:pt>
                <c:pt idx="11">
                  <c:v>7.9330000000000567E-2</c:v>
                </c:pt>
                <c:pt idx="12">
                  <c:v>9.745999999999988E-2</c:v>
                </c:pt>
                <c:pt idx="13">
                  <c:v>9.5709999999999518E-2</c:v>
                </c:pt>
                <c:pt idx="14">
                  <c:v>0.10063999999999851</c:v>
                </c:pt>
                <c:pt idx="15">
                  <c:v>0.14840000000000053</c:v>
                </c:pt>
                <c:pt idx="16">
                  <c:v>0.11594000000000015</c:v>
                </c:pt>
                <c:pt idx="17">
                  <c:v>0.11814999999999998</c:v>
                </c:pt>
                <c:pt idx="18">
                  <c:v>0.14719000000000015</c:v>
                </c:pt>
                <c:pt idx="19">
                  <c:v>0.13455000000000084</c:v>
                </c:pt>
                <c:pt idx="20">
                  <c:v>0.13335000000000008</c:v>
                </c:pt>
                <c:pt idx="21">
                  <c:v>0.15991999999999962</c:v>
                </c:pt>
                <c:pt idx="22">
                  <c:v>0.15525000000000055</c:v>
                </c:pt>
                <c:pt idx="23">
                  <c:v>0.1606500000000004</c:v>
                </c:pt>
                <c:pt idx="24">
                  <c:v>0.17731999999999992</c:v>
                </c:pt>
                <c:pt idx="25">
                  <c:v>0.17622000000000071</c:v>
                </c:pt>
                <c:pt idx="26">
                  <c:v>0.17919999999999803</c:v>
                </c:pt>
                <c:pt idx="27">
                  <c:v>0.20797999999999917</c:v>
                </c:pt>
                <c:pt idx="28">
                  <c:v>0.1901699999999984</c:v>
                </c:pt>
                <c:pt idx="29">
                  <c:v>0.20028999999999897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8A-4FE2-9D4E-13834494D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743152"/>
        <c:axId val="1260736912"/>
      </c:scatterChart>
      <c:valAx>
        <c:axId val="170959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590832"/>
        <c:crosses val="autoZero"/>
        <c:crossBetween val="midCat"/>
      </c:valAx>
      <c:valAx>
        <c:axId val="17095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590352"/>
        <c:crosses val="autoZero"/>
        <c:crossBetween val="midCat"/>
      </c:valAx>
      <c:valAx>
        <c:axId val="12607369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743152"/>
        <c:crosses val="max"/>
        <c:crossBetween val="midCat"/>
      </c:valAx>
      <c:valAx>
        <c:axId val="1260743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0736912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output!$H$3:$H$32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</c:numCache>
            </c:numRef>
          </c:xVal>
          <c:yVal>
            <c:numRef>
              <c:f>output!$S$3:$S$32</c:f>
              <c:numCache>
                <c:formatCode>General</c:formatCode>
                <c:ptCount val="30"/>
                <c:pt idx="0">
                  <c:v>25.567992145311731</c:v>
                </c:pt>
                <c:pt idx="1">
                  <c:v>26.054386865058991</c:v>
                </c:pt>
                <c:pt idx="2">
                  <c:v>26.015094339622859</c:v>
                </c:pt>
                <c:pt idx="3">
                  <c:v>12.481509059320013</c:v>
                </c:pt>
                <c:pt idx="4">
                  <c:v>12.355263157894662</c:v>
                </c:pt>
                <c:pt idx="5">
                  <c:v>12.687678339818456</c:v>
                </c:pt>
                <c:pt idx="6">
                  <c:v>8.410204081632628</c:v>
                </c:pt>
                <c:pt idx="7">
                  <c:v>8.5176746523706051</c:v>
                </c:pt>
                <c:pt idx="8">
                  <c:v>9.0096473719228989</c:v>
                </c:pt>
                <c:pt idx="9">
                  <c:v>6.5407126239745406</c:v>
                </c:pt>
                <c:pt idx="10">
                  <c:v>6.2859090345768056</c:v>
                </c:pt>
                <c:pt idx="11">
                  <c:v>6.115971259296562</c:v>
                </c:pt>
                <c:pt idx="12">
                  <c:v>5.620972706751501</c:v>
                </c:pt>
                <c:pt idx="13">
                  <c:v>5.0800334343329041</c:v>
                </c:pt>
                <c:pt idx="14">
                  <c:v>4.9764507154213655</c:v>
                </c:pt>
                <c:pt idx="15">
                  <c:v>3.4254043126684448</c:v>
                </c:pt>
                <c:pt idx="16">
                  <c:v>4.2860100051750791</c:v>
                </c:pt>
                <c:pt idx="17">
                  <c:v>4.688446889547178</c:v>
                </c:pt>
                <c:pt idx="18">
                  <c:v>3.3931652965554684</c:v>
                </c:pt>
                <c:pt idx="19">
                  <c:v>3.6127090301003046</c:v>
                </c:pt>
                <c:pt idx="20">
                  <c:v>3.7539557555305487</c:v>
                </c:pt>
                <c:pt idx="21">
                  <c:v>3.3143446723361758</c:v>
                </c:pt>
                <c:pt idx="22">
                  <c:v>3.170305958132039</c:v>
                </c:pt>
                <c:pt idx="23">
                  <c:v>3.1117958294428796</c:v>
                </c:pt>
                <c:pt idx="24">
                  <c:v>2.7899842093390443</c:v>
                </c:pt>
                <c:pt idx="25">
                  <c:v>3.2019634547724376</c:v>
                </c:pt>
                <c:pt idx="26">
                  <c:v>2.8021763392857371</c:v>
                </c:pt>
                <c:pt idx="27">
                  <c:v>2.4050389460525126</c:v>
                </c:pt>
                <c:pt idx="28">
                  <c:v>2.6110848188463129</c:v>
                </c:pt>
                <c:pt idx="29">
                  <c:v>2.7861600679015486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00-4DC2-8843-B047EE2344D2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output!$H$3:$H$32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</c:numCache>
            </c:numRef>
          </c:xVal>
          <c:yVal>
            <c:numRef>
              <c:f>output!$T$3:$T$32</c:f>
              <c:numCache>
                <c:formatCode>General</c:formatCode>
                <c:ptCount val="30"/>
                <c:pt idx="0">
                  <c:v>50.460979156568285</c:v>
                </c:pt>
                <c:pt idx="1">
                  <c:v>51.447034972123603</c:v>
                </c:pt>
                <c:pt idx="2">
                  <c:v>51.448000000000491</c:v>
                </c:pt>
                <c:pt idx="3">
                  <c:v>24.799308812638952</c:v>
                </c:pt>
                <c:pt idx="4">
                  <c:v>24.562723161151929</c:v>
                </c:pt>
                <c:pt idx="5">
                  <c:v>25.216774193548478</c:v>
                </c:pt>
                <c:pt idx="6">
                  <c:v>16.734112862226677</c:v>
                </c:pt>
                <c:pt idx="7">
                  <c:v>16.934768101434734</c:v>
                </c:pt>
                <c:pt idx="8">
                  <c:v>17.931211669153136</c:v>
                </c:pt>
                <c:pt idx="9">
                  <c:v>13.012695312499975</c:v>
                </c:pt>
                <c:pt idx="10">
                  <c:v>12.500432579409187</c:v>
                </c:pt>
                <c:pt idx="11">
                  <c:v>12.172743273824393</c:v>
                </c:pt>
                <c:pt idx="12">
                  <c:v>11.186041751944359</c:v>
                </c:pt>
                <c:pt idx="13">
                  <c:v>10.111018450953905</c:v>
                </c:pt>
                <c:pt idx="14">
                  <c:v>9.9062066230419035</c:v>
                </c:pt>
                <c:pt idx="15">
                  <c:v>6.8201574379330836</c:v>
                </c:pt>
                <c:pt idx="16">
                  <c:v>8.5194358445132572</c:v>
                </c:pt>
                <c:pt idx="17">
                  <c:v>9.3329673114283445</c:v>
                </c:pt>
                <c:pt idx="18">
                  <c:v>6.7505765839099015</c:v>
                </c:pt>
                <c:pt idx="19">
                  <c:v>7.1877875055645646</c:v>
                </c:pt>
                <c:pt idx="20">
                  <c:v>7.4666467021037191</c:v>
                </c:pt>
                <c:pt idx="21">
                  <c:v>6.5947043027540664</c:v>
                </c:pt>
                <c:pt idx="22">
                  <c:v>6.3065543191612914</c:v>
                </c:pt>
                <c:pt idx="23">
                  <c:v>6.1873057316921072</c:v>
                </c:pt>
                <c:pt idx="24">
                  <c:v>5.5488086520588258</c:v>
                </c:pt>
                <c:pt idx="25">
                  <c:v>6.3708909544320722</c:v>
                </c:pt>
                <c:pt idx="26">
                  <c:v>5.572933504264058</c:v>
                </c:pt>
                <c:pt idx="27">
                  <c:v>4.7803554274736202</c:v>
                </c:pt>
                <c:pt idx="28">
                  <c:v>5.1896008403361211</c:v>
                </c:pt>
                <c:pt idx="29">
                  <c:v>5.5416188718767696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00-4DC2-8843-B047EE234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946144"/>
        <c:axId val="1139949024"/>
      </c:scatterChar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output!$H$3:$H$32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</c:numCache>
            </c:numRef>
          </c:xVal>
          <c:yVal>
            <c:numRef>
              <c:f>output!$R$3:$R$32</c:f>
              <c:numCache>
                <c:formatCode>General</c:formatCode>
                <c:ptCount val="30"/>
                <c:pt idx="0">
                  <c:v>2000.7307692313316</c:v>
                </c:pt>
                <c:pt idx="1">
                  <c:v>2113.5416666665087</c:v>
                </c:pt>
                <c:pt idx="2">
                  <c:v>2410.3500000002655</c:v>
                </c:pt>
                <c:pt idx="3">
                  <c:v>2280.636363635233</c:v>
                </c:pt>
                <c:pt idx="4">
                  <c:v>2454.4285714280645</c:v>
                </c:pt>
                <c:pt idx="5">
                  <c:v>2440.2000000002677</c:v>
                </c:pt>
                <c:pt idx="6">
                  <c:v>2347.4285714280854</c:v>
                </c:pt>
                <c:pt idx="7">
                  <c:v>2026.5999999975234</c:v>
                </c:pt>
                <c:pt idx="8">
                  <c:v>2572.0476190470886</c:v>
                </c:pt>
                <c:pt idx="9">
                  <c:v>2127.2799999974027</c:v>
                </c:pt>
                <c:pt idx="10">
                  <c:v>2291.8181818124199</c:v>
                </c:pt>
                <c:pt idx="11">
                  <c:v>2300.1904761899996</c:v>
                </c:pt>
                <c:pt idx="12">
                  <c:v>2097.2307692313584</c:v>
                </c:pt>
                <c:pt idx="13">
                  <c:v>2198.8181818215312</c:v>
                </c:pt>
                <c:pt idx="14">
                  <c:v>2265.0454545397524</c:v>
                </c:pt>
                <c:pt idx="15">
                  <c:v>2197.1739130418109</c:v>
                </c:pt>
                <c:pt idx="16">
                  <c:v>1452.1176470606897</c:v>
                </c:pt>
                <c:pt idx="17">
                  <c:v>2295.791666668621</c:v>
                </c:pt>
                <c:pt idx="18">
                  <c:v>2155.3478260853212</c:v>
                </c:pt>
                <c:pt idx="19">
                  <c:v>2098.6086956505824</c:v>
                </c:pt>
                <c:pt idx="20">
                  <c:v>2257.8636363579576</c:v>
                </c:pt>
                <c:pt idx="21">
                  <c:v>2504.6666666767442</c:v>
                </c:pt>
                <c:pt idx="22">
                  <c:v>2219.5000000123455</c:v>
                </c:pt>
                <c:pt idx="23">
                  <c:v>2358.9523809419193</c:v>
                </c:pt>
                <c:pt idx="24">
                  <c:v>2335.0476190570066</c:v>
                </c:pt>
                <c:pt idx="25">
                  <c:v>2544.6818181754279</c:v>
                </c:pt>
                <c:pt idx="26">
                  <c:v>2369.9523809619159</c:v>
                </c:pt>
                <c:pt idx="27">
                  <c:v>2250.3181818306866</c:v>
                </c:pt>
                <c:pt idx="28">
                  <c:v>2137.1739130253513</c:v>
                </c:pt>
                <c:pt idx="29">
                  <c:v>2514.1363636503438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00-4DC2-8843-B047EE234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318272"/>
        <c:axId val="1706660000"/>
      </c:scatterChart>
      <c:valAx>
        <c:axId val="113994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949024"/>
        <c:crosses val="autoZero"/>
        <c:crossBetween val="midCat"/>
      </c:valAx>
      <c:valAx>
        <c:axId val="113994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946144"/>
        <c:crosses val="autoZero"/>
        <c:crossBetween val="midCat"/>
      </c:valAx>
      <c:valAx>
        <c:axId val="17066600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18272"/>
        <c:crosses val="max"/>
        <c:crossBetween val="midCat"/>
      </c:valAx>
      <c:valAx>
        <c:axId val="518318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0666000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355633</xdr:colOff>
      <xdr:row>37</xdr:row>
      <xdr:rowOff>13309</xdr:rowOff>
    </xdr:from>
    <xdr:to>
      <xdr:col>16</xdr:col>
      <xdr:colOff>328221</xdr:colOff>
      <xdr:row>64</xdr:row>
      <xdr:rowOff>88240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2FFDD8-352D-8E39-43CB-DB880C542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490682</xdr:colOff>
      <xdr:row>36</xdr:row>
      <xdr:rowOff>146626</xdr:rowOff>
    </xdr:from>
    <xdr:to>
      <xdr:col>34</xdr:col>
      <xdr:colOff>531092</xdr:colOff>
      <xdr:row>70</xdr:row>
      <xdr:rowOff>11545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A93AA4-A66A-1712-4614-1035D6AF2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90D61-8F84-43A6-8FB8-82CF8ED530E1}">
  <dimension ref="A1:T32"/>
  <sheetViews>
    <sheetView tabSelected="1" topLeftCell="A34" zoomScale="64" workbookViewId="0">
      <selection activeCell="U38" sqref="U38"/>
    </sheetView>
  </sheetViews>
  <sheetFormatPr defaultRowHeight="14.4" x14ac:dyDescent="0.3"/>
  <cols>
    <col min="11" max="11" width="8" bestFit="1" customWidth="1"/>
    <col min="12" max="13" width="8" customWidth="1"/>
  </cols>
  <sheetData>
    <row r="1" spans="1:20" x14ac:dyDescent="0.3">
      <c r="A1" s="1" t="s">
        <v>1</v>
      </c>
      <c r="B1" s="1"/>
      <c r="C1" s="1"/>
      <c r="D1" s="1" t="s">
        <v>2</v>
      </c>
      <c r="E1" s="1"/>
      <c r="F1" s="1"/>
    </row>
    <row r="2" spans="1:20" x14ac:dyDescent="0.3">
      <c r="A2" t="s">
        <v>0</v>
      </c>
      <c r="B2" t="s">
        <v>3</v>
      </c>
      <c r="C2" t="s">
        <v>4</v>
      </c>
      <c r="D2" t="s">
        <v>0</v>
      </c>
      <c r="E2" t="s">
        <v>3</v>
      </c>
      <c r="F2" t="s">
        <v>4</v>
      </c>
      <c r="G2" t="s">
        <v>6</v>
      </c>
      <c r="H2" t="s">
        <v>5</v>
      </c>
      <c r="J2" t="s">
        <v>7</v>
      </c>
      <c r="K2" t="s">
        <v>8</v>
      </c>
      <c r="N2" t="s">
        <v>7</v>
      </c>
      <c r="O2" t="s">
        <v>8</v>
      </c>
    </row>
    <row r="3" spans="1:20" x14ac:dyDescent="0.3">
      <c r="A3">
        <v>7.238E-2</v>
      </c>
      <c r="B3">
        <v>0.59257000000000004</v>
      </c>
      <c r="C3">
        <v>0.59319999999999995</v>
      </c>
      <c r="D3">
        <v>0.59325000000000006</v>
      </c>
      <c r="E3">
        <v>0.59350999999999998</v>
      </c>
      <c r="F3">
        <v>0.61387999999999998</v>
      </c>
      <c r="G3">
        <v>0</v>
      </c>
      <c r="H3">
        <v>1</v>
      </c>
      <c r="J3">
        <f>(B3-A3)</f>
        <v>0.52019000000000004</v>
      </c>
      <c r="K3">
        <f>(C3-A3)</f>
        <v>0.52081999999999995</v>
      </c>
      <c r="L3">
        <f>J3+K3</f>
        <v>1.04101</v>
      </c>
      <c r="N3">
        <f>(E3-D3)</f>
        <v>2.5999999999992696E-4</v>
      </c>
      <c r="O3">
        <f>(F3-E3)</f>
        <v>2.0369999999999999E-2</v>
      </c>
      <c r="P3">
        <f>N3+O3</f>
        <v>2.0629999999999926E-2</v>
      </c>
      <c r="R3">
        <f>J3/N3</f>
        <v>2000.7307692313316</v>
      </c>
      <c r="S3">
        <f t="shared" ref="S3:T18" si="0">K3/O3</f>
        <v>25.567992145311731</v>
      </c>
      <c r="T3">
        <f t="shared" si="0"/>
        <v>50.460979156568285</v>
      </c>
    </row>
    <row r="4" spans="1:20" x14ac:dyDescent="0.3">
      <c r="A4">
        <v>0.61392999999999998</v>
      </c>
      <c r="B4">
        <v>1.1211800000000001</v>
      </c>
      <c r="C4">
        <v>1.1217299999999999</v>
      </c>
      <c r="D4">
        <v>1.12175</v>
      </c>
      <c r="E4">
        <v>1.12199</v>
      </c>
      <c r="F4">
        <v>1.1414800000000001</v>
      </c>
      <c r="G4">
        <v>1</v>
      </c>
      <c r="H4">
        <v>1</v>
      </c>
      <c r="J4">
        <f t="shared" ref="J4:J32" si="1">(B4-A4)</f>
        <v>0.50725000000000009</v>
      </c>
      <c r="K4">
        <f t="shared" ref="K4:K32" si="2">(C4-A4)</f>
        <v>0.50779999999999992</v>
      </c>
      <c r="L4">
        <f t="shared" ref="L4:L32" si="3">J4+K4</f>
        <v>1.01505</v>
      </c>
      <c r="N4">
        <f t="shared" ref="N4:N32" si="4">(E4-D4)</f>
        <v>2.4000000000001798E-4</v>
      </c>
      <c r="O4">
        <f t="shared" ref="O4:O32" si="5">(F4-E4)</f>
        <v>1.9490000000000007E-2</v>
      </c>
      <c r="P4">
        <f t="shared" ref="P4:P32" si="6">N4+O4</f>
        <v>1.9730000000000025E-2</v>
      </c>
      <c r="R4">
        <f t="shared" ref="R4:R32" si="7">J4/N4</f>
        <v>2113.5416666665087</v>
      </c>
      <c r="S4">
        <f t="shared" si="0"/>
        <v>26.054386865058991</v>
      </c>
      <c r="T4">
        <f t="shared" si="0"/>
        <v>51.447034972123603</v>
      </c>
    </row>
    <row r="5" spans="1:20" x14ac:dyDescent="0.3">
      <c r="A5">
        <v>1.1415299999999999</v>
      </c>
      <c r="B5">
        <v>1.6235999999999999</v>
      </c>
      <c r="C5">
        <v>1.6241099999999999</v>
      </c>
      <c r="D5">
        <v>1.6241300000000001</v>
      </c>
      <c r="E5">
        <v>1.6243300000000001</v>
      </c>
      <c r="F5">
        <v>1.6428799999999999</v>
      </c>
      <c r="G5">
        <v>2</v>
      </c>
      <c r="H5">
        <v>1</v>
      </c>
      <c r="J5">
        <f t="shared" si="1"/>
        <v>0.48207</v>
      </c>
      <c r="K5">
        <f t="shared" si="2"/>
        <v>0.48258000000000001</v>
      </c>
      <c r="L5">
        <f t="shared" si="3"/>
        <v>0.96465000000000001</v>
      </c>
      <c r="N5">
        <f t="shared" si="4"/>
        <v>1.9999999999997797E-4</v>
      </c>
      <c r="O5">
        <f t="shared" si="5"/>
        <v>1.8549999999999844E-2</v>
      </c>
      <c r="P5">
        <f t="shared" si="6"/>
        <v>1.8749999999999822E-2</v>
      </c>
      <c r="R5">
        <f t="shared" si="7"/>
        <v>2410.3500000002655</v>
      </c>
      <c r="S5">
        <f t="shared" si="0"/>
        <v>26.015094339622859</v>
      </c>
      <c r="T5">
        <f t="shared" si="0"/>
        <v>51.448000000000491</v>
      </c>
    </row>
    <row r="6" spans="1:20" x14ac:dyDescent="0.3">
      <c r="A6">
        <v>1.6449400000000001</v>
      </c>
      <c r="B6">
        <v>2.1466799999999999</v>
      </c>
      <c r="C6">
        <v>2.1478199999999998</v>
      </c>
      <c r="D6">
        <v>2.14784</v>
      </c>
      <c r="E6">
        <v>2.1480600000000001</v>
      </c>
      <c r="F6">
        <v>2.1883499999999998</v>
      </c>
      <c r="G6">
        <v>0</v>
      </c>
      <c r="H6">
        <v>2</v>
      </c>
      <c r="J6">
        <f t="shared" si="1"/>
        <v>0.50173999999999985</v>
      </c>
      <c r="K6">
        <f t="shared" si="2"/>
        <v>0.50287999999999977</v>
      </c>
      <c r="L6">
        <f t="shared" si="3"/>
        <v>1.0046199999999996</v>
      </c>
      <c r="N6">
        <f t="shared" si="4"/>
        <v>2.20000000000109E-4</v>
      </c>
      <c r="O6">
        <f t="shared" si="5"/>
        <v>4.0289999999999715E-2</v>
      </c>
      <c r="P6">
        <f t="shared" si="6"/>
        <v>4.0509999999999824E-2</v>
      </c>
      <c r="R6">
        <f t="shared" si="7"/>
        <v>2280.636363635233</v>
      </c>
      <c r="S6">
        <f t="shared" si="0"/>
        <v>12.481509059320013</v>
      </c>
      <c r="T6">
        <f t="shared" si="0"/>
        <v>24.799308812638952</v>
      </c>
    </row>
    <row r="7" spans="1:20" x14ac:dyDescent="0.3">
      <c r="A7">
        <v>2.1884199999999998</v>
      </c>
      <c r="B7">
        <v>2.7038500000000001</v>
      </c>
      <c r="C7">
        <v>2.7048700000000001</v>
      </c>
      <c r="D7">
        <v>2.7048899999999998</v>
      </c>
      <c r="E7">
        <v>2.7050999999999998</v>
      </c>
      <c r="F7">
        <v>2.7469000000000001</v>
      </c>
      <c r="G7">
        <v>1</v>
      </c>
      <c r="H7">
        <v>2</v>
      </c>
      <c r="J7">
        <f t="shared" si="1"/>
        <v>0.51543000000000028</v>
      </c>
      <c r="K7">
        <f t="shared" si="2"/>
        <v>0.5164500000000003</v>
      </c>
      <c r="L7">
        <f t="shared" si="3"/>
        <v>1.0318800000000006</v>
      </c>
      <c r="N7">
        <f t="shared" si="4"/>
        <v>2.1000000000004349E-4</v>
      </c>
      <c r="O7">
        <f t="shared" si="5"/>
        <v>4.1800000000000281E-2</v>
      </c>
      <c r="P7">
        <f t="shared" si="6"/>
        <v>4.2010000000000325E-2</v>
      </c>
      <c r="R7">
        <f t="shared" si="7"/>
        <v>2454.4285714280645</v>
      </c>
      <c r="S7">
        <f t="shared" si="0"/>
        <v>12.355263157894662</v>
      </c>
      <c r="T7">
        <f t="shared" si="0"/>
        <v>24.562723161151929</v>
      </c>
    </row>
    <row r="8" spans="1:20" x14ac:dyDescent="0.3">
      <c r="A8">
        <v>2.7469600000000001</v>
      </c>
      <c r="B8">
        <v>3.2349999999999999</v>
      </c>
      <c r="C8">
        <v>3.2360699999999998</v>
      </c>
      <c r="D8">
        <v>3.2361</v>
      </c>
      <c r="E8">
        <v>3.2363</v>
      </c>
      <c r="F8">
        <v>3.2748499999999998</v>
      </c>
      <c r="G8">
        <v>2</v>
      </c>
      <c r="H8">
        <v>2</v>
      </c>
      <c r="J8">
        <f t="shared" si="1"/>
        <v>0.48803999999999981</v>
      </c>
      <c r="K8">
        <f t="shared" si="2"/>
        <v>0.48910999999999971</v>
      </c>
      <c r="L8">
        <f t="shared" si="3"/>
        <v>0.97714999999999952</v>
      </c>
      <c r="N8">
        <f t="shared" si="4"/>
        <v>1.9999999999997797E-4</v>
      </c>
      <c r="O8">
        <f t="shared" si="5"/>
        <v>3.8549999999999862E-2</v>
      </c>
      <c r="P8">
        <f t="shared" si="6"/>
        <v>3.874999999999984E-2</v>
      </c>
      <c r="R8">
        <f t="shared" si="7"/>
        <v>2440.2000000002677</v>
      </c>
      <c r="S8">
        <f t="shared" si="0"/>
        <v>12.687678339818456</v>
      </c>
      <c r="T8">
        <f t="shared" si="0"/>
        <v>25.216774193548478</v>
      </c>
    </row>
    <row r="9" spans="1:20" x14ac:dyDescent="0.3">
      <c r="A9">
        <v>3.27698</v>
      </c>
      <c r="B9">
        <v>3.7699400000000001</v>
      </c>
      <c r="C9">
        <v>3.7715000000000001</v>
      </c>
      <c r="D9">
        <v>3.7715299999999998</v>
      </c>
      <c r="E9">
        <v>3.7717399999999999</v>
      </c>
      <c r="F9">
        <v>3.8305400000000001</v>
      </c>
      <c r="G9">
        <v>0</v>
      </c>
      <c r="H9">
        <v>3</v>
      </c>
      <c r="J9">
        <f t="shared" si="1"/>
        <v>0.49296000000000006</v>
      </c>
      <c r="K9">
        <f t="shared" si="2"/>
        <v>0.49452000000000007</v>
      </c>
      <c r="L9">
        <f t="shared" si="3"/>
        <v>0.98748000000000014</v>
      </c>
      <c r="N9">
        <f t="shared" si="4"/>
        <v>2.1000000000004349E-4</v>
      </c>
      <c r="O9">
        <f t="shared" si="5"/>
        <v>5.8800000000000185E-2</v>
      </c>
      <c r="P9">
        <f t="shared" si="6"/>
        <v>5.9010000000000229E-2</v>
      </c>
      <c r="R9">
        <f t="shared" si="7"/>
        <v>2347.4285714280854</v>
      </c>
      <c r="S9">
        <f t="shared" si="0"/>
        <v>8.410204081632628</v>
      </c>
      <c r="T9">
        <f t="shared" si="0"/>
        <v>16.734112862226677</v>
      </c>
    </row>
    <row r="10" spans="1:20" x14ac:dyDescent="0.3">
      <c r="A10">
        <v>3.8306</v>
      </c>
      <c r="B10">
        <v>4.33725</v>
      </c>
      <c r="C10">
        <v>4.3390199999999997</v>
      </c>
      <c r="D10">
        <v>4.3390599999999999</v>
      </c>
      <c r="E10">
        <v>4.3393100000000002</v>
      </c>
      <c r="F10">
        <v>4.399</v>
      </c>
      <c r="G10">
        <v>1</v>
      </c>
      <c r="H10">
        <v>3</v>
      </c>
      <c r="J10">
        <f t="shared" si="1"/>
        <v>0.50665000000000004</v>
      </c>
      <c r="K10">
        <f t="shared" si="2"/>
        <v>0.50841999999999965</v>
      </c>
      <c r="L10">
        <f t="shared" si="3"/>
        <v>1.0150699999999997</v>
      </c>
      <c r="N10">
        <f t="shared" si="4"/>
        <v>2.5000000000030553E-4</v>
      </c>
      <c r="O10">
        <f t="shared" si="5"/>
        <v>5.9689999999999799E-2</v>
      </c>
      <c r="P10">
        <f t="shared" si="6"/>
        <v>5.9940000000000104E-2</v>
      </c>
      <c r="R10">
        <f t="shared" si="7"/>
        <v>2026.5999999975234</v>
      </c>
      <c r="S10">
        <f t="shared" si="0"/>
        <v>8.5176746523706051</v>
      </c>
      <c r="T10">
        <f t="shared" si="0"/>
        <v>16.934768101434734</v>
      </c>
    </row>
    <row r="11" spans="1:20" x14ac:dyDescent="0.3">
      <c r="A11">
        <v>4.3990499999999999</v>
      </c>
      <c r="B11">
        <v>4.9391800000000003</v>
      </c>
      <c r="C11">
        <v>4.9407100000000002</v>
      </c>
      <c r="D11">
        <v>4.9407300000000003</v>
      </c>
      <c r="E11">
        <v>4.9409400000000003</v>
      </c>
      <c r="F11">
        <v>5.0010599999999998</v>
      </c>
      <c r="G11">
        <v>2</v>
      </c>
      <c r="H11">
        <v>3</v>
      </c>
      <c r="J11">
        <f t="shared" si="1"/>
        <v>0.54013000000000044</v>
      </c>
      <c r="K11">
        <f t="shared" si="2"/>
        <v>0.54166000000000025</v>
      </c>
      <c r="L11">
        <f t="shared" si="3"/>
        <v>1.0817900000000007</v>
      </c>
      <c r="N11">
        <f t="shared" si="4"/>
        <v>2.1000000000004349E-4</v>
      </c>
      <c r="O11">
        <f t="shared" si="5"/>
        <v>6.0119999999999507E-2</v>
      </c>
      <c r="P11">
        <f t="shared" si="6"/>
        <v>6.0329999999999551E-2</v>
      </c>
      <c r="R11">
        <f t="shared" si="7"/>
        <v>2572.0476190470886</v>
      </c>
      <c r="S11">
        <f t="shared" si="0"/>
        <v>9.0096473719228989</v>
      </c>
      <c r="T11">
        <f t="shared" si="0"/>
        <v>17.931211669153136</v>
      </c>
    </row>
    <row r="12" spans="1:20" x14ac:dyDescent="0.3">
      <c r="A12">
        <v>5.0030599999999996</v>
      </c>
      <c r="B12">
        <v>5.5348800000000002</v>
      </c>
      <c r="C12">
        <v>5.5372399999999997</v>
      </c>
      <c r="D12">
        <v>5.5372899999999996</v>
      </c>
      <c r="E12">
        <v>5.5375399999999999</v>
      </c>
      <c r="F12">
        <v>5.6192099999999998</v>
      </c>
      <c r="G12">
        <v>0</v>
      </c>
      <c r="H12">
        <v>4</v>
      </c>
      <c r="J12">
        <f t="shared" si="1"/>
        <v>0.53182000000000063</v>
      </c>
      <c r="K12">
        <f t="shared" si="2"/>
        <v>0.5341800000000001</v>
      </c>
      <c r="L12">
        <f t="shared" si="3"/>
        <v>1.0660000000000007</v>
      </c>
      <c r="N12">
        <f t="shared" si="4"/>
        <v>2.5000000000030553E-4</v>
      </c>
      <c r="O12">
        <f t="shared" si="5"/>
        <v>8.1669999999999909E-2</v>
      </c>
      <c r="P12">
        <f t="shared" si="6"/>
        <v>8.1920000000000215E-2</v>
      </c>
      <c r="R12">
        <f t="shared" si="7"/>
        <v>2127.2799999974027</v>
      </c>
      <c r="S12">
        <f t="shared" si="0"/>
        <v>6.5407126239745406</v>
      </c>
      <c r="T12">
        <f t="shared" si="0"/>
        <v>13.012695312499975</v>
      </c>
    </row>
    <row r="13" spans="1:20" x14ac:dyDescent="0.3">
      <c r="A13">
        <v>5.6192599999999997</v>
      </c>
      <c r="B13">
        <v>6.1234599999999997</v>
      </c>
      <c r="C13">
        <v>6.1264700000000003</v>
      </c>
      <c r="D13">
        <v>6.1265299999999998</v>
      </c>
      <c r="E13">
        <v>6.1267500000000004</v>
      </c>
      <c r="F13">
        <v>6.2074400000000001</v>
      </c>
      <c r="G13">
        <v>1</v>
      </c>
      <c r="H13">
        <v>4</v>
      </c>
      <c r="J13">
        <f t="shared" si="1"/>
        <v>0.50419999999999998</v>
      </c>
      <c r="K13">
        <f t="shared" si="2"/>
        <v>0.5072100000000006</v>
      </c>
      <c r="L13">
        <f t="shared" si="3"/>
        <v>1.0114100000000006</v>
      </c>
      <c r="N13">
        <f t="shared" si="4"/>
        <v>2.2000000000055309E-4</v>
      </c>
      <c r="O13">
        <f t="shared" si="5"/>
        <v>8.0689999999999706E-2</v>
      </c>
      <c r="P13">
        <f t="shared" si="6"/>
        <v>8.0910000000000259E-2</v>
      </c>
      <c r="R13">
        <f t="shared" si="7"/>
        <v>2291.8181818124199</v>
      </c>
      <c r="S13">
        <f t="shared" si="0"/>
        <v>6.2859090345768056</v>
      </c>
      <c r="T13">
        <f t="shared" si="0"/>
        <v>12.500432579409187</v>
      </c>
    </row>
    <row r="14" spans="1:20" x14ac:dyDescent="0.3">
      <c r="A14">
        <v>6.2075100000000001</v>
      </c>
      <c r="B14">
        <v>6.69055</v>
      </c>
      <c r="C14">
        <v>6.6926899999999998</v>
      </c>
      <c r="D14">
        <v>6.6927199999999996</v>
      </c>
      <c r="E14">
        <v>6.6929299999999996</v>
      </c>
      <c r="F14">
        <v>6.7722600000000002</v>
      </c>
      <c r="G14">
        <v>2</v>
      </c>
      <c r="H14">
        <v>4</v>
      </c>
      <c r="J14">
        <f t="shared" si="1"/>
        <v>0.48303999999999991</v>
      </c>
      <c r="K14">
        <f t="shared" si="2"/>
        <v>0.48517999999999972</v>
      </c>
      <c r="L14">
        <f t="shared" si="3"/>
        <v>0.96821999999999964</v>
      </c>
      <c r="N14">
        <f t="shared" si="4"/>
        <v>2.1000000000004349E-4</v>
      </c>
      <c r="O14">
        <f t="shared" si="5"/>
        <v>7.9330000000000567E-2</v>
      </c>
      <c r="P14">
        <f t="shared" si="6"/>
        <v>7.954000000000061E-2</v>
      </c>
      <c r="R14">
        <f t="shared" si="7"/>
        <v>2300.1904761899996</v>
      </c>
      <c r="S14">
        <f t="shared" si="0"/>
        <v>6.115971259296562</v>
      </c>
      <c r="T14">
        <f t="shared" si="0"/>
        <v>12.172743273824393</v>
      </c>
    </row>
    <row r="15" spans="1:20" x14ac:dyDescent="0.3">
      <c r="A15">
        <v>6.7744999999999997</v>
      </c>
      <c r="B15">
        <v>7.3197799999999997</v>
      </c>
      <c r="C15">
        <v>7.3223200000000004</v>
      </c>
      <c r="D15">
        <v>7.3223700000000003</v>
      </c>
      <c r="E15">
        <v>7.3226300000000002</v>
      </c>
      <c r="F15">
        <v>7.4200900000000001</v>
      </c>
      <c r="G15">
        <v>0</v>
      </c>
      <c r="H15">
        <v>5</v>
      </c>
      <c r="J15">
        <f t="shared" si="1"/>
        <v>0.54527999999999999</v>
      </c>
      <c r="K15">
        <f t="shared" si="2"/>
        <v>0.54782000000000064</v>
      </c>
      <c r="L15">
        <f t="shared" si="3"/>
        <v>1.0931000000000006</v>
      </c>
      <c r="N15">
        <f t="shared" si="4"/>
        <v>2.5999999999992696E-4</v>
      </c>
      <c r="O15">
        <f t="shared" si="5"/>
        <v>9.745999999999988E-2</v>
      </c>
      <c r="P15">
        <f t="shared" si="6"/>
        <v>9.7719999999999807E-2</v>
      </c>
      <c r="R15">
        <f t="shared" si="7"/>
        <v>2097.2307692313584</v>
      </c>
      <c r="S15">
        <f t="shared" si="0"/>
        <v>5.620972706751501</v>
      </c>
      <c r="T15">
        <f t="shared" si="0"/>
        <v>11.186041751944359</v>
      </c>
    </row>
    <row r="16" spans="1:20" x14ac:dyDescent="0.3">
      <c r="A16">
        <v>7.42014</v>
      </c>
      <c r="B16">
        <v>7.90388</v>
      </c>
      <c r="C16">
        <v>7.9063499999999998</v>
      </c>
      <c r="D16">
        <v>7.9063800000000004</v>
      </c>
      <c r="E16">
        <v>7.9066000000000001</v>
      </c>
      <c r="F16">
        <v>8.0023099999999996</v>
      </c>
      <c r="G16">
        <v>1</v>
      </c>
      <c r="H16">
        <v>5</v>
      </c>
      <c r="J16">
        <f t="shared" si="1"/>
        <v>0.48374000000000006</v>
      </c>
      <c r="K16">
        <f t="shared" si="2"/>
        <v>0.48620999999999981</v>
      </c>
      <c r="L16">
        <f t="shared" si="3"/>
        <v>0.96994999999999987</v>
      </c>
      <c r="N16">
        <f t="shared" si="4"/>
        <v>2.1999999999966491E-4</v>
      </c>
      <c r="O16">
        <f t="shared" si="5"/>
        <v>9.5709999999999518E-2</v>
      </c>
      <c r="P16">
        <f t="shared" si="6"/>
        <v>9.5929999999999183E-2</v>
      </c>
      <c r="R16">
        <f t="shared" si="7"/>
        <v>2198.8181818215312</v>
      </c>
      <c r="S16">
        <f t="shared" si="0"/>
        <v>5.0800334343329041</v>
      </c>
      <c r="T16">
        <f t="shared" si="0"/>
        <v>10.111018450953905</v>
      </c>
    </row>
    <row r="17" spans="1:20" x14ac:dyDescent="0.3">
      <c r="A17">
        <v>8.0023700000000009</v>
      </c>
      <c r="B17">
        <v>8.5006799999999991</v>
      </c>
      <c r="C17">
        <v>8.5031999999999996</v>
      </c>
      <c r="D17">
        <v>8.5032300000000003</v>
      </c>
      <c r="E17">
        <v>8.5034500000000008</v>
      </c>
      <c r="F17">
        <v>8.6040899999999993</v>
      </c>
      <c r="G17">
        <v>2</v>
      </c>
      <c r="H17">
        <v>5</v>
      </c>
      <c r="J17">
        <f t="shared" si="1"/>
        <v>0.49830999999999825</v>
      </c>
      <c r="K17">
        <f t="shared" si="2"/>
        <v>0.50082999999999878</v>
      </c>
      <c r="L17">
        <f t="shared" si="3"/>
        <v>0.99913999999999703</v>
      </c>
      <c r="N17">
        <f t="shared" si="4"/>
        <v>2.2000000000055309E-4</v>
      </c>
      <c r="O17">
        <f t="shared" si="5"/>
        <v>0.10063999999999851</v>
      </c>
      <c r="P17">
        <f t="shared" si="6"/>
        <v>0.10085999999999906</v>
      </c>
      <c r="R17">
        <f t="shared" si="7"/>
        <v>2265.0454545397524</v>
      </c>
      <c r="S17">
        <f t="shared" si="0"/>
        <v>4.9764507154213655</v>
      </c>
      <c r="T17">
        <f t="shared" si="0"/>
        <v>9.9062066230419035</v>
      </c>
    </row>
    <row r="18" spans="1:20" x14ac:dyDescent="0.3">
      <c r="A18">
        <v>8.6066500000000001</v>
      </c>
      <c r="B18">
        <v>9.1120000000000001</v>
      </c>
      <c r="C18">
        <v>9.1149799999999992</v>
      </c>
      <c r="D18">
        <v>9.1150099999999998</v>
      </c>
      <c r="E18">
        <v>9.11524</v>
      </c>
      <c r="F18">
        <v>9.2636400000000005</v>
      </c>
      <c r="G18">
        <v>0</v>
      </c>
      <c r="H18">
        <v>6</v>
      </c>
      <c r="J18">
        <f t="shared" si="1"/>
        <v>0.50534999999999997</v>
      </c>
      <c r="K18">
        <f t="shared" si="2"/>
        <v>0.50832999999999906</v>
      </c>
      <c r="L18">
        <f t="shared" si="3"/>
        <v>1.013679999999999</v>
      </c>
      <c r="N18">
        <f t="shared" si="4"/>
        <v>2.3000000000017451E-4</v>
      </c>
      <c r="O18">
        <f t="shared" si="5"/>
        <v>0.14840000000000053</v>
      </c>
      <c r="P18">
        <f t="shared" si="6"/>
        <v>0.14863000000000071</v>
      </c>
      <c r="R18">
        <f t="shared" si="7"/>
        <v>2197.1739130418109</v>
      </c>
      <c r="S18">
        <f t="shared" si="0"/>
        <v>3.4254043126684448</v>
      </c>
      <c r="T18">
        <f t="shared" si="0"/>
        <v>6.8201574379330836</v>
      </c>
    </row>
    <row r="19" spans="1:20" x14ac:dyDescent="0.3">
      <c r="A19">
        <v>9.2636900000000004</v>
      </c>
      <c r="B19">
        <v>9.7574100000000001</v>
      </c>
      <c r="C19">
        <v>9.7606099999999998</v>
      </c>
      <c r="D19">
        <v>9.7606800000000007</v>
      </c>
      <c r="E19">
        <v>9.7610200000000003</v>
      </c>
      <c r="F19">
        <v>9.8769600000000004</v>
      </c>
      <c r="G19">
        <v>1</v>
      </c>
      <c r="H19">
        <v>6</v>
      </c>
      <c r="J19">
        <f t="shared" si="1"/>
        <v>0.49371999999999971</v>
      </c>
      <c r="K19">
        <f t="shared" si="2"/>
        <v>0.49691999999999936</v>
      </c>
      <c r="L19">
        <f t="shared" si="3"/>
        <v>0.99063999999999908</v>
      </c>
      <c r="N19">
        <f t="shared" si="4"/>
        <v>3.3999999999956287E-4</v>
      </c>
      <c r="O19">
        <f t="shared" si="5"/>
        <v>0.11594000000000015</v>
      </c>
      <c r="P19">
        <f t="shared" si="6"/>
        <v>0.11627999999999972</v>
      </c>
      <c r="R19">
        <f t="shared" si="7"/>
        <v>1452.1176470606897</v>
      </c>
      <c r="S19">
        <f t="shared" ref="S19:S32" si="8">K19/O19</f>
        <v>4.2860100051750791</v>
      </c>
      <c r="T19">
        <f t="shared" ref="T19:T32" si="9">L19/P19</f>
        <v>8.5194358445132572</v>
      </c>
    </row>
    <row r="20" spans="1:20" x14ac:dyDescent="0.3">
      <c r="A20">
        <v>9.8770100000000003</v>
      </c>
      <c r="B20">
        <v>10.428000000000001</v>
      </c>
      <c r="C20">
        <v>10.430949999999999</v>
      </c>
      <c r="D20">
        <v>10.43098</v>
      </c>
      <c r="E20">
        <v>10.43122</v>
      </c>
      <c r="F20">
        <v>10.54937</v>
      </c>
      <c r="G20">
        <v>2</v>
      </c>
      <c r="H20">
        <v>6</v>
      </c>
      <c r="J20">
        <f t="shared" si="1"/>
        <v>0.55099000000000053</v>
      </c>
      <c r="K20">
        <f t="shared" si="2"/>
        <v>0.55393999999999899</v>
      </c>
      <c r="L20">
        <f t="shared" si="3"/>
        <v>1.1049299999999995</v>
      </c>
      <c r="N20">
        <f t="shared" si="4"/>
        <v>2.3999999999979593E-4</v>
      </c>
      <c r="O20">
        <f t="shared" si="5"/>
        <v>0.11814999999999998</v>
      </c>
      <c r="P20">
        <f t="shared" si="6"/>
        <v>0.11838999999999977</v>
      </c>
      <c r="R20">
        <f t="shared" si="7"/>
        <v>2295.791666668621</v>
      </c>
      <c r="S20">
        <f t="shared" si="8"/>
        <v>4.688446889547178</v>
      </c>
      <c r="T20">
        <f t="shared" si="9"/>
        <v>9.3329673114283445</v>
      </c>
    </row>
    <row r="21" spans="1:20" x14ac:dyDescent="0.3">
      <c r="A21">
        <v>10.5519</v>
      </c>
      <c r="B21">
        <v>11.04763</v>
      </c>
      <c r="C21">
        <v>11.05134</v>
      </c>
      <c r="D21">
        <v>11.05138</v>
      </c>
      <c r="E21">
        <v>11.05161</v>
      </c>
      <c r="F21">
        <v>11.1988</v>
      </c>
      <c r="G21">
        <v>0</v>
      </c>
      <c r="H21">
        <v>7</v>
      </c>
      <c r="J21">
        <f t="shared" si="1"/>
        <v>0.49573</v>
      </c>
      <c r="K21">
        <f t="shared" si="2"/>
        <v>0.49943999999999988</v>
      </c>
      <c r="L21">
        <f t="shared" si="3"/>
        <v>0.99516999999999989</v>
      </c>
      <c r="N21">
        <f t="shared" si="4"/>
        <v>2.3000000000017451E-4</v>
      </c>
      <c r="O21">
        <f t="shared" si="5"/>
        <v>0.14719000000000015</v>
      </c>
      <c r="P21">
        <f t="shared" si="6"/>
        <v>0.14742000000000033</v>
      </c>
      <c r="R21">
        <f t="shared" si="7"/>
        <v>2155.3478260853212</v>
      </c>
      <c r="S21">
        <f t="shared" si="8"/>
        <v>3.3931652965554684</v>
      </c>
      <c r="T21">
        <f t="shared" si="9"/>
        <v>6.7505765839099015</v>
      </c>
    </row>
    <row r="22" spans="1:20" x14ac:dyDescent="0.3">
      <c r="A22">
        <v>11.19885</v>
      </c>
      <c r="B22">
        <v>11.68153</v>
      </c>
      <c r="C22">
        <v>11.684939999999999</v>
      </c>
      <c r="D22">
        <v>11.68497</v>
      </c>
      <c r="E22">
        <v>11.6852</v>
      </c>
      <c r="F22">
        <v>11.819750000000001</v>
      </c>
      <c r="G22">
        <v>1</v>
      </c>
      <c r="H22">
        <v>7</v>
      </c>
      <c r="J22">
        <f t="shared" si="1"/>
        <v>0.48268000000000022</v>
      </c>
      <c r="K22">
        <f t="shared" si="2"/>
        <v>0.48608999999999902</v>
      </c>
      <c r="L22">
        <f t="shared" si="3"/>
        <v>0.96876999999999924</v>
      </c>
      <c r="N22">
        <f t="shared" si="4"/>
        <v>2.3000000000017451E-4</v>
      </c>
      <c r="O22">
        <f t="shared" si="5"/>
        <v>0.13455000000000084</v>
      </c>
      <c r="P22">
        <f t="shared" si="6"/>
        <v>0.13478000000000101</v>
      </c>
      <c r="R22">
        <f t="shared" si="7"/>
        <v>2098.6086956505824</v>
      </c>
      <c r="S22">
        <f t="shared" si="8"/>
        <v>3.6127090301003046</v>
      </c>
      <c r="T22">
        <f t="shared" si="9"/>
        <v>7.1877875055645646</v>
      </c>
    </row>
    <row r="23" spans="1:20" x14ac:dyDescent="0.3">
      <c r="A23">
        <v>11.819800000000001</v>
      </c>
      <c r="B23">
        <v>12.31653</v>
      </c>
      <c r="C23">
        <v>12.32039</v>
      </c>
      <c r="D23">
        <v>12.32043</v>
      </c>
      <c r="E23">
        <v>12.320650000000001</v>
      </c>
      <c r="F23">
        <v>12.454000000000001</v>
      </c>
      <c r="G23">
        <v>2</v>
      </c>
      <c r="H23">
        <v>7</v>
      </c>
      <c r="J23">
        <f t="shared" si="1"/>
        <v>0.49672999999999945</v>
      </c>
      <c r="K23">
        <f t="shared" si="2"/>
        <v>0.50058999999999898</v>
      </c>
      <c r="L23">
        <f t="shared" si="3"/>
        <v>0.99731999999999843</v>
      </c>
      <c r="N23">
        <f t="shared" si="4"/>
        <v>2.2000000000055309E-4</v>
      </c>
      <c r="O23">
        <f t="shared" si="5"/>
        <v>0.13335000000000008</v>
      </c>
      <c r="P23">
        <f t="shared" si="6"/>
        <v>0.13357000000000063</v>
      </c>
      <c r="R23">
        <f t="shared" si="7"/>
        <v>2257.8636363579576</v>
      </c>
      <c r="S23">
        <f t="shared" si="8"/>
        <v>3.7539557555305487</v>
      </c>
      <c r="T23">
        <f t="shared" si="9"/>
        <v>7.4666467021037191</v>
      </c>
    </row>
    <row r="24" spans="1:20" x14ac:dyDescent="0.3">
      <c r="A24">
        <v>12.45646</v>
      </c>
      <c r="B24">
        <v>12.98244</v>
      </c>
      <c r="C24">
        <v>12.98649</v>
      </c>
      <c r="D24">
        <v>12.986520000000001</v>
      </c>
      <c r="E24">
        <v>12.98673</v>
      </c>
      <c r="F24">
        <v>13.146649999999999</v>
      </c>
      <c r="G24">
        <v>0</v>
      </c>
      <c r="H24">
        <v>8</v>
      </c>
      <c r="J24">
        <f t="shared" si="1"/>
        <v>0.52598000000000056</v>
      </c>
      <c r="K24">
        <f t="shared" si="2"/>
        <v>0.53003</v>
      </c>
      <c r="L24">
        <f t="shared" si="3"/>
        <v>1.0560100000000006</v>
      </c>
      <c r="N24">
        <f t="shared" si="4"/>
        <v>2.0999999999915531E-4</v>
      </c>
      <c r="O24">
        <f t="shared" si="5"/>
        <v>0.15991999999999962</v>
      </c>
      <c r="P24">
        <f t="shared" si="6"/>
        <v>0.16012999999999877</v>
      </c>
      <c r="R24">
        <f t="shared" si="7"/>
        <v>2504.6666666767442</v>
      </c>
      <c r="S24">
        <f t="shared" si="8"/>
        <v>3.3143446723361758</v>
      </c>
      <c r="T24">
        <f t="shared" si="9"/>
        <v>6.5947043027540664</v>
      </c>
    </row>
    <row r="25" spans="1:20" x14ac:dyDescent="0.3">
      <c r="A25">
        <v>13.146699999999999</v>
      </c>
      <c r="B25">
        <v>13.63499</v>
      </c>
      <c r="C25">
        <v>13.63889</v>
      </c>
      <c r="D25">
        <v>13.638920000000001</v>
      </c>
      <c r="E25">
        <v>13.639139999999999</v>
      </c>
      <c r="F25">
        <v>13.79439</v>
      </c>
      <c r="G25">
        <v>1</v>
      </c>
      <c r="H25">
        <v>8</v>
      </c>
      <c r="J25">
        <f t="shared" si="1"/>
        <v>0.488290000000001</v>
      </c>
      <c r="K25">
        <f t="shared" si="2"/>
        <v>0.49219000000000079</v>
      </c>
      <c r="L25">
        <f t="shared" si="3"/>
        <v>0.98048000000000179</v>
      </c>
      <c r="N25">
        <f t="shared" si="4"/>
        <v>2.1999999999877673E-4</v>
      </c>
      <c r="O25">
        <f t="shared" si="5"/>
        <v>0.15525000000000055</v>
      </c>
      <c r="P25">
        <f t="shared" si="6"/>
        <v>0.15546999999999933</v>
      </c>
      <c r="R25">
        <f t="shared" si="7"/>
        <v>2219.5000000123455</v>
      </c>
      <c r="S25">
        <f t="shared" si="8"/>
        <v>3.170305958132039</v>
      </c>
      <c r="T25">
        <f t="shared" si="9"/>
        <v>6.3065543191612914</v>
      </c>
    </row>
    <row r="26" spans="1:20" x14ac:dyDescent="0.3">
      <c r="A26">
        <v>13.794449999999999</v>
      </c>
      <c r="B26">
        <v>14.28983</v>
      </c>
      <c r="C26">
        <v>14.294359999999999</v>
      </c>
      <c r="D26">
        <v>14.2944</v>
      </c>
      <c r="E26">
        <v>14.29461</v>
      </c>
      <c r="F26">
        <v>14.455260000000001</v>
      </c>
      <c r="G26">
        <v>2</v>
      </c>
      <c r="H26">
        <v>8</v>
      </c>
      <c r="J26">
        <f t="shared" si="1"/>
        <v>0.49538000000000082</v>
      </c>
      <c r="K26">
        <f t="shared" si="2"/>
        <v>0.49990999999999985</v>
      </c>
      <c r="L26">
        <f t="shared" si="3"/>
        <v>0.99529000000000067</v>
      </c>
      <c r="N26">
        <f t="shared" si="4"/>
        <v>2.1000000000093166E-4</v>
      </c>
      <c r="O26">
        <f t="shared" si="5"/>
        <v>0.1606500000000004</v>
      </c>
      <c r="P26">
        <f t="shared" si="6"/>
        <v>0.16086000000000134</v>
      </c>
      <c r="R26">
        <f t="shared" si="7"/>
        <v>2358.9523809419193</v>
      </c>
      <c r="S26">
        <f t="shared" si="8"/>
        <v>3.1117958294428796</v>
      </c>
      <c r="T26">
        <f t="shared" si="9"/>
        <v>6.1873057316921072</v>
      </c>
    </row>
    <row r="27" spans="1:20" x14ac:dyDescent="0.3">
      <c r="A27">
        <v>14.45743</v>
      </c>
      <c r="B27">
        <v>14.947789999999999</v>
      </c>
      <c r="C27">
        <v>14.95215</v>
      </c>
      <c r="D27">
        <v>14.95218</v>
      </c>
      <c r="E27">
        <v>14.952389999999999</v>
      </c>
      <c r="F27">
        <v>15.129709999999999</v>
      </c>
      <c r="G27">
        <v>0</v>
      </c>
      <c r="H27">
        <v>9</v>
      </c>
      <c r="J27">
        <f t="shared" si="1"/>
        <v>0.49035999999999902</v>
      </c>
      <c r="K27">
        <f t="shared" si="2"/>
        <v>0.49471999999999916</v>
      </c>
      <c r="L27">
        <f t="shared" si="3"/>
        <v>0.98507999999999818</v>
      </c>
      <c r="N27">
        <f t="shared" si="4"/>
        <v>2.0999999999915531E-4</v>
      </c>
      <c r="O27">
        <f t="shared" si="5"/>
        <v>0.17731999999999992</v>
      </c>
      <c r="P27">
        <f t="shared" si="6"/>
        <v>0.17752999999999908</v>
      </c>
      <c r="R27">
        <f t="shared" si="7"/>
        <v>2335.0476190570066</v>
      </c>
      <c r="S27">
        <f t="shared" si="8"/>
        <v>2.7899842093390443</v>
      </c>
      <c r="T27">
        <f t="shared" si="9"/>
        <v>5.5488086520588258</v>
      </c>
    </row>
    <row r="28" spans="1:20" x14ac:dyDescent="0.3">
      <c r="A28">
        <v>15.129759999999999</v>
      </c>
      <c r="B28">
        <v>15.689590000000001</v>
      </c>
      <c r="C28">
        <v>15.69401</v>
      </c>
      <c r="D28">
        <v>15.694039999999999</v>
      </c>
      <c r="E28">
        <v>15.69426</v>
      </c>
      <c r="F28">
        <v>15.870480000000001</v>
      </c>
      <c r="G28">
        <v>1</v>
      </c>
      <c r="H28">
        <v>9</v>
      </c>
      <c r="J28">
        <f t="shared" si="1"/>
        <v>0.5598300000000016</v>
      </c>
      <c r="K28">
        <f t="shared" si="2"/>
        <v>0.56425000000000125</v>
      </c>
      <c r="L28">
        <f t="shared" si="3"/>
        <v>1.1240800000000029</v>
      </c>
      <c r="N28">
        <f t="shared" si="4"/>
        <v>2.2000000000055309E-4</v>
      </c>
      <c r="O28">
        <f t="shared" si="5"/>
        <v>0.17622000000000071</v>
      </c>
      <c r="P28">
        <f t="shared" si="6"/>
        <v>0.17644000000000126</v>
      </c>
      <c r="R28">
        <f t="shared" si="7"/>
        <v>2544.6818181754279</v>
      </c>
      <c r="S28">
        <f t="shared" si="8"/>
        <v>3.2019634547724376</v>
      </c>
      <c r="T28">
        <f t="shared" si="9"/>
        <v>6.3708909544320722</v>
      </c>
    </row>
    <row r="29" spans="1:20" x14ac:dyDescent="0.3">
      <c r="A29">
        <v>15.87053</v>
      </c>
      <c r="B29">
        <v>16.368220000000001</v>
      </c>
      <c r="C29">
        <v>16.372679999999999</v>
      </c>
      <c r="D29">
        <v>16.372710000000001</v>
      </c>
      <c r="E29">
        <v>16.372920000000001</v>
      </c>
      <c r="F29">
        <v>16.552119999999999</v>
      </c>
      <c r="G29">
        <v>2</v>
      </c>
      <c r="H29">
        <v>9</v>
      </c>
      <c r="J29">
        <f t="shared" si="1"/>
        <v>0.49769000000000041</v>
      </c>
      <c r="K29">
        <f t="shared" si="2"/>
        <v>0.50214999999999854</v>
      </c>
      <c r="L29">
        <f t="shared" si="3"/>
        <v>0.99983999999999895</v>
      </c>
      <c r="N29">
        <f t="shared" si="4"/>
        <v>2.0999999999915531E-4</v>
      </c>
      <c r="O29">
        <f t="shared" si="5"/>
        <v>0.17919999999999803</v>
      </c>
      <c r="P29">
        <f t="shared" si="6"/>
        <v>0.17940999999999718</v>
      </c>
      <c r="R29">
        <f t="shared" si="7"/>
        <v>2369.9523809619159</v>
      </c>
      <c r="S29">
        <f t="shared" si="8"/>
        <v>2.8021763392857371</v>
      </c>
      <c r="T29">
        <f t="shared" si="9"/>
        <v>5.572933504264058</v>
      </c>
    </row>
    <row r="30" spans="1:20" x14ac:dyDescent="0.3">
      <c r="A30">
        <v>16.55574</v>
      </c>
      <c r="B30">
        <v>17.050809999999998</v>
      </c>
      <c r="C30">
        <v>17.05594</v>
      </c>
      <c r="D30">
        <v>17.055980000000002</v>
      </c>
      <c r="E30">
        <v>17.0562</v>
      </c>
      <c r="F30">
        <v>17.26418</v>
      </c>
      <c r="G30">
        <v>0</v>
      </c>
      <c r="H30">
        <v>10</v>
      </c>
      <c r="J30">
        <f t="shared" si="1"/>
        <v>0.49506999999999834</v>
      </c>
      <c r="K30">
        <f t="shared" si="2"/>
        <v>0.50019999999999953</v>
      </c>
      <c r="L30">
        <f t="shared" si="3"/>
        <v>0.99526999999999788</v>
      </c>
      <c r="N30">
        <f t="shared" si="4"/>
        <v>2.1999999999877673E-4</v>
      </c>
      <c r="O30">
        <f t="shared" si="5"/>
        <v>0.20797999999999917</v>
      </c>
      <c r="P30">
        <f t="shared" si="6"/>
        <v>0.20819999999999794</v>
      </c>
      <c r="R30">
        <f t="shared" si="7"/>
        <v>2250.3181818306866</v>
      </c>
      <c r="S30">
        <f t="shared" si="8"/>
        <v>2.4050389460525126</v>
      </c>
      <c r="T30">
        <f t="shared" si="9"/>
        <v>4.7803554274736202</v>
      </c>
    </row>
    <row r="31" spans="1:20" x14ac:dyDescent="0.3">
      <c r="A31">
        <v>17.264230000000001</v>
      </c>
      <c r="B31">
        <v>17.755780000000001</v>
      </c>
      <c r="C31">
        <v>17.76078</v>
      </c>
      <c r="D31">
        <v>17.760809999999999</v>
      </c>
      <c r="E31">
        <v>17.761040000000001</v>
      </c>
      <c r="F31">
        <v>17.95121</v>
      </c>
      <c r="G31">
        <v>1</v>
      </c>
      <c r="H31">
        <v>10</v>
      </c>
      <c r="J31">
        <f t="shared" si="1"/>
        <v>0.49155000000000015</v>
      </c>
      <c r="K31">
        <f t="shared" si="2"/>
        <v>0.49654999999999916</v>
      </c>
      <c r="L31">
        <f t="shared" si="3"/>
        <v>0.98809999999999931</v>
      </c>
      <c r="N31">
        <f t="shared" si="4"/>
        <v>2.3000000000195087E-4</v>
      </c>
      <c r="O31">
        <f t="shared" si="5"/>
        <v>0.1901699999999984</v>
      </c>
      <c r="P31">
        <f t="shared" si="6"/>
        <v>0.19040000000000035</v>
      </c>
      <c r="R31">
        <f t="shared" si="7"/>
        <v>2137.1739130253513</v>
      </c>
      <c r="S31">
        <f t="shared" si="8"/>
        <v>2.6110848188463129</v>
      </c>
      <c r="T31">
        <f t="shared" si="9"/>
        <v>5.1896008403361211</v>
      </c>
    </row>
    <row r="32" spans="1:20" x14ac:dyDescent="0.3">
      <c r="A32">
        <v>17.951260000000001</v>
      </c>
      <c r="B32">
        <v>18.504370000000002</v>
      </c>
      <c r="C32">
        <v>18.5093</v>
      </c>
      <c r="D32">
        <v>18.509340000000002</v>
      </c>
      <c r="E32">
        <v>18.50956</v>
      </c>
      <c r="F32">
        <v>18.709849999999999</v>
      </c>
      <c r="G32">
        <v>2</v>
      </c>
      <c r="H32">
        <v>10</v>
      </c>
      <c r="J32">
        <f t="shared" si="1"/>
        <v>0.55311000000000021</v>
      </c>
      <c r="K32">
        <f t="shared" si="2"/>
        <v>0.55803999999999832</v>
      </c>
      <c r="L32">
        <f t="shared" si="3"/>
        <v>1.1111499999999985</v>
      </c>
      <c r="N32">
        <f t="shared" si="4"/>
        <v>2.1999999999877673E-4</v>
      </c>
      <c r="O32">
        <f t="shared" si="5"/>
        <v>0.20028999999999897</v>
      </c>
      <c r="P32">
        <f t="shared" si="6"/>
        <v>0.20050999999999775</v>
      </c>
      <c r="R32">
        <f t="shared" si="7"/>
        <v>2514.1363636503438</v>
      </c>
      <c r="S32">
        <f t="shared" si="8"/>
        <v>2.7861600679015486</v>
      </c>
      <c r="T32">
        <f t="shared" si="9"/>
        <v>5.5416188718767696</v>
      </c>
    </row>
  </sheetData>
  <mergeCells count="2">
    <mergeCell ref="A1:C1"/>
    <mergeCell ref="D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Roscoe</dc:creator>
  <cp:lastModifiedBy>Roscoe, Will (Student)</cp:lastModifiedBy>
  <dcterms:created xsi:type="dcterms:W3CDTF">2024-06-18T01:36:32Z</dcterms:created>
  <dcterms:modified xsi:type="dcterms:W3CDTF">2024-06-18T01:52:36Z</dcterms:modified>
</cp:coreProperties>
</file>